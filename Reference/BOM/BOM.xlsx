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0\Documents\fluorescence\BOM\"/>
    </mc:Choice>
  </mc:AlternateContent>
  <xr:revisionPtr revIDLastSave="0" documentId="13_ncr:1_{071E771F-EADB-46C0-A33F-C7E39D7DCC25}" xr6:coauthVersionLast="47" xr6:coauthVersionMax="47" xr10:uidLastSave="{00000000-0000-0000-0000-000000000000}"/>
  <bookViews>
    <workbookView xWindow="-120" yWindow="-120" windowWidth="29040" windowHeight="15720" activeTab="2" xr2:uid="{C679C04B-F69D-4228-A4B5-54D3BB69159C}"/>
  </bookViews>
  <sheets>
    <sheet name="overview" sheetId="1" r:id="rId1"/>
    <sheet name="Optics" sheetId="4" r:id="rId2"/>
    <sheet name="Stage" sheetId="2" r:id="rId3"/>
    <sheet name="Base damping" sheetId="3" r:id="rId4"/>
    <sheet name="Lego" sheetId="6" r:id="rId5"/>
    <sheet name="Electronic" sheetId="7" r:id="rId6"/>
    <sheet name="Fluorescent Microspher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13" i="4"/>
  <c r="E4" i="3"/>
  <c r="E16" i="7"/>
  <c r="E11" i="6"/>
  <c r="E10" i="6"/>
  <c r="E4" i="6"/>
  <c r="E5" i="6"/>
  <c r="E6" i="6"/>
  <c r="E7" i="6"/>
  <c r="E8" i="6"/>
  <c r="E9" i="6"/>
  <c r="E3" i="6"/>
  <c r="E12" i="7"/>
  <c r="E11" i="7"/>
  <c r="E14" i="7"/>
  <c r="E15" i="7"/>
  <c r="E13" i="7"/>
  <c r="E10" i="7"/>
  <c r="E9" i="7"/>
  <c r="E8" i="7"/>
  <c r="E7" i="7"/>
  <c r="E6" i="7"/>
  <c r="E5" i="7"/>
  <c r="E4" i="7"/>
  <c r="E3" i="7"/>
  <c r="E2" i="7"/>
  <c r="E3" i="3"/>
  <c r="E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6" i="2" l="1"/>
  <c r="E30" i="1" l="1"/>
</calcChain>
</file>

<file path=xl/sharedStrings.xml><?xml version="1.0" encoding="utf-8"?>
<sst xmlns="http://schemas.openxmlformats.org/spreadsheetml/2006/main" count="138" uniqueCount="120">
  <si>
    <t>camera cable</t>
    <phoneticPr fontId="1" type="noConversion"/>
  </si>
  <si>
    <t>Active cooler</t>
    <phoneticPr fontId="1" type="noConversion"/>
  </si>
  <si>
    <t xml:space="preserve"> </t>
    <phoneticPr fontId="1" type="noConversion"/>
  </si>
  <si>
    <t>Electroics</t>
    <phoneticPr fontId="1" type="noConversion"/>
  </si>
  <si>
    <t>Optics</t>
    <phoneticPr fontId="1" type="noConversion"/>
  </si>
  <si>
    <t>Dichroic mirror</t>
    <phoneticPr fontId="1" type="noConversion"/>
  </si>
  <si>
    <t>Emission filter</t>
    <phoneticPr fontId="1" type="noConversion"/>
  </si>
  <si>
    <t>Exceited filter</t>
    <phoneticPr fontId="1" type="noConversion"/>
  </si>
  <si>
    <t>Bright-Field condenser</t>
    <phoneticPr fontId="6" type="noConversion"/>
  </si>
  <si>
    <t>Fluorescence condenser</t>
    <phoneticPr fontId="1" type="noConversion"/>
  </si>
  <si>
    <t>Description</t>
    <phoneticPr fontId="6" type="noConversion"/>
  </si>
  <si>
    <t>Quantity</t>
    <phoneticPr fontId="6" type="noConversion"/>
  </si>
  <si>
    <t>price</t>
    <phoneticPr fontId="6" type="noConversion"/>
  </si>
  <si>
    <t xml:space="preserve">  $  </t>
    <phoneticPr fontId="6" type="noConversion"/>
  </si>
  <si>
    <t>Link</t>
    <phoneticPr fontId="6" type="noConversion"/>
  </si>
  <si>
    <t>滑軌</t>
    <phoneticPr fontId="1" type="noConversion"/>
  </si>
  <si>
    <t>滑軌組245mm</t>
    <phoneticPr fontId="1" type="noConversion"/>
  </si>
  <si>
    <t>https://shopee.tw/%E3%80%90%E4%B8%8D%E5%9B%89%E5%97%A624H%E9%80%81%E5%87%BA%E3%80%91%E7%B7%9A%E6%80%A7%E6%BB%91%E8%BB%8C-%E7%B7%9A%E8%BB%8C-MGN12-%E6%BB%91%E8%BB%8C-%E7%9B%B4%E7%B7%9A%E6%BB%91%E8%BB%8C-%E5%BE%AE%E5%9E%8B%E5%B0%8E%E8%BB%8C-%E7%9F%AD%E7%89%88-%E9%95%B7%E7%89%88-%E6%A8%99%E6%BA%96%E6%BB%91%E5%A1%8A-%E9%95%B7%E5%BA%A695-395mm-i.3743756.25933066211</t>
    <phoneticPr fontId="1" type="noConversion"/>
  </si>
  <si>
    <t>滑軌組195mm</t>
    <phoneticPr fontId="1" type="noConversion"/>
  </si>
  <si>
    <t>滑軌組145mm</t>
    <phoneticPr fontId="1" type="noConversion"/>
  </si>
  <si>
    <t>T8螺桿</t>
    <phoneticPr fontId="1" type="noConversion"/>
  </si>
  <si>
    <t>200mm,導程2</t>
    <phoneticPr fontId="1" type="noConversion"/>
  </si>
  <si>
    <t>https://shopee.tw/%E3%80%90%E4%B8%8D%E5%9B%89%E5%97%A624H%E9%80%81%E5%87%BA%E3%80%91T8%E8%9E%BA%E6%A1%BF-%E5%B0%8E%E7%A8%8B2-4-8-14mm-%E5%B0%8E%E7%A8%8B-%E9%95%B7%E5%BA%A6100-400mm-T8-%E5%82%B3%E5%8B%95-%E8%9E%BA%E6%A1%BF-%E8%A7%92%E7%89%99-%E6%A2%AF%E5%9E%8B%E8%9E%BA%E6%A1%BF-i.3743756.449821830</t>
    <phoneticPr fontId="1" type="noConversion"/>
  </si>
  <si>
    <t>150mm,導程2</t>
    <phoneticPr fontId="1" type="noConversion"/>
  </si>
  <si>
    <t>100mm,導程2</t>
    <phoneticPr fontId="1" type="noConversion"/>
  </si>
  <si>
    <t>T8螺帽</t>
    <phoneticPr fontId="1" type="noConversion"/>
  </si>
  <si>
    <t>T8銅螺帽_牙孔</t>
    <phoneticPr fontId="1" type="noConversion"/>
  </si>
  <si>
    <t>https://shopee.tw/%E3%80%90%E4%B8%8D%E5%9B%89%E5%97%A624H%E9%80%81%E5%87%BA%E3%80%91T8-T10-T12-%E9%8A%85%E8%9E%BA%E6%AF%8D-%E6%B6%88%E9%96%93%E9%9A%99%E8%9E%BA%E6%AF%8D-%E5%B0%8E%E7%A8%8B2%E3%80%814%E3%80%818%E3%80%8114-T10%E8%9E%BA%E6%AF%8D-T8%E8%9E%BA%E6%AF%8D-%E5%82%B3%E5%8B%95%E8%9E%BA%E5%B8%BD-i.3743756.203648891</t>
    <phoneticPr fontId="1" type="noConversion"/>
  </si>
  <si>
    <t>T8消間隙螺帽</t>
    <phoneticPr fontId="1" type="noConversion"/>
  </si>
  <si>
    <t>T8消間隙銅螺帽_無牙孔</t>
    <phoneticPr fontId="1" type="noConversion"/>
  </si>
  <si>
    <t>聯軸器</t>
    <phoneticPr fontId="1" type="noConversion"/>
  </si>
  <si>
    <t>A孔徑5,B孔徑8</t>
    <phoneticPr fontId="1" type="noConversion"/>
  </si>
  <si>
    <t>https://shopee.tw/%E3%80%90%E4%B8%8D%E5%9B%89%E5%97%A624H%E9%80%81%E5%87%BA%E3%80%91%E8%81%AF%E8%BB%B8%E5%99%A8-%E9%8B%81%E5%90%88%E9%87%91-%E5%A4%9A%E5%B0%BA%E5%AF%B8-%E5%85%A7%E5%BE%913-10-%E5%BD%88%E6%80%A7%E8%81%AF%E8%BB%B8%E5%99%A8-(-%E9%80%A3%E8%BB%B8%E5%99%A8-3D%E5%88%97%E5%8D%B0-%E6%AD%A5%E5%BE%91-%E8%BB%B8%E5%BF%83-%E5%BD%88%E6%80%A7%E8%81%AF%E8%BB%B8%E5%99%A8)-i.3743756.1367558201</t>
    <phoneticPr fontId="1" type="noConversion"/>
  </si>
  <si>
    <t>軸承</t>
    <phoneticPr fontId="1" type="noConversion"/>
  </si>
  <si>
    <t>MR148_(8x14x4mm)</t>
    <phoneticPr fontId="1" type="noConversion"/>
  </si>
  <si>
    <t>【不囉嗦24H送出】滾珠軸承 多尺寸 內徑7-8mm 薄型軸承 微型軸承 bearing 培林 軸承 軸承鋼 | 蝦皮購物</t>
  </si>
  <si>
    <t>M3螺絲</t>
    <phoneticPr fontId="1" type="noConversion"/>
  </si>
  <si>
    <t>8mm</t>
    <phoneticPr fontId="1" type="noConversion"/>
  </si>
  <si>
    <t>【不囉嗦24H送出】M3 螺絲 長度3-150mm M3x0.5P 全牙 圓頭內六角 加長螺絲 304不鏽鋼 機械牙 | 蝦皮購物</t>
  </si>
  <si>
    <t>12mm</t>
    <phoneticPr fontId="1" type="noConversion"/>
  </si>
  <si>
    <t>30mm</t>
    <phoneticPr fontId="1" type="noConversion"/>
  </si>
  <si>
    <t>M3螺帽</t>
    <phoneticPr fontId="1" type="noConversion"/>
  </si>
  <si>
    <t>M3_邊5.5厚2.3</t>
    <phoneticPr fontId="1" type="noConversion"/>
  </si>
  <si>
    <t>【不囉嗦24H送出】M2 M3 M4 M5 M6 M8 M10 M12 1/4 5/16 四方螺母 方螺母 鋁擠型 | 蝦皮購物</t>
  </si>
  <si>
    <t>石板</t>
    <phoneticPr fontId="1" type="noConversion"/>
  </si>
  <si>
    <t>30x30</t>
    <phoneticPr fontId="1" type="noConversion"/>
  </si>
  <si>
    <t>天然大理石板﹝大尺寸頁面﹞ 花崗 岩板 烘焙 揉麵板 刀切砧板 中島檯面 工作桌墊 炙燒墊板 音響墊 皮雕金工 敲擊桌板 | 蝦皮購物</t>
  </si>
  <si>
    <t>減震墊</t>
    <phoneticPr fontId="1" type="noConversion"/>
  </si>
  <si>
    <t>睿傑工業-現貨 厚1cm 橡膠墊 政府立案 可開收據 橡膠板 機車墊 水溝墊 止滑墊 洗衣機墊 絕緣 防震 緩衝 台灣製 | 蝦皮購物</t>
  </si>
  <si>
    <t>Price</t>
    <phoneticPr fontId="6" type="noConversion"/>
  </si>
  <si>
    <t>ACL12708U</t>
    <phoneticPr fontId="6" type="noConversion"/>
  </si>
  <si>
    <t>https://www.thorlabs.com/item/ACL12708U?aID=f9abf3060ac4001787dec53829fb8b65&amp;aC=1</t>
    <phoneticPr fontId="6" type="noConversion"/>
  </si>
  <si>
    <t>25mm Dia x 20mm FL, MgF2 Coated, Molded Aspheric Condenser Lens</t>
    <phoneticPr fontId="1" type="noConversion"/>
  </si>
  <si>
    <t>https://www.edmundoptics.com/p/25mm-dia-x-20mm-fl-mgfsub2sub-coated-molded-aspheric-condenser-lens/43075/</t>
    <phoneticPr fontId="1" type="noConversion"/>
  </si>
  <si>
    <t>Diffuser</t>
    <phoneticPr fontId="1" type="noConversion"/>
  </si>
  <si>
    <t>25mm Diameter 600 Grit Ground Glass Diffuser</t>
    <phoneticPr fontId="1" type="noConversion"/>
  </si>
  <si>
    <t>25mm Diameter 600 Grit Ground Glass Diffuser | Edmund Optics</t>
  </si>
  <si>
    <t>#15-257</t>
    <phoneticPr fontId="1" type="noConversion"/>
  </si>
  <si>
    <t>https://www.edmundoptics.com.tw/p/500nm-25mm-dia-od-20-shortpass-filter/43489/</t>
    <phoneticPr fontId="1" type="noConversion"/>
  </si>
  <si>
    <t>DMLP490</t>
    <phoneticPr fontId="1" type="noConversion"/>
  </si>
  <si>
    <t>https://www.thorlabs.com/thorproduct.cfm?partnumber=DMLP490</t>
    <phoneticPr fontId="1" type="noConversion"/>
  </si>
  <si>
    <t>FGL495</t>
    <phoneticPr fontId="1" type="noConversion"/>
  </si>
  <si>
    <t>https://www.thorlabs.com/thorproduct.cfm?partnumber=FGL495</t>
    <phoneticPr fontId="1" type="noConversion"/>
  </si>
  <si>
    <t>Laser Diode</t>
    <phoneticPr fontId="1" type="noConversion"/>
  </si>
  <si>
    <t>sharp 80mw 5.6mm</t>
    <phoneticPr fontId="1" type="noConversion"/>
  </si>
  <si>
    <t>https://shopee.tw/%E5%85%A8%E6%96%B0-450nm-445nm-%E8%97%8D%E5%85%89%E9%9B%B7%E5%B0%84%E4%BA%8C%E6%A5%B5%E9%AB%94-5.6mm-80mw-1.6w-LD-laser-diode-i.1144085257.46054340871?xptdk=f45a144c-a2df-4fcc-bc2c-c93b51dfd8b1</t>
    <phoneticPr fontId="1" type="noConversion"/>
  </si>
  <si>
    <t>Housing Case</t>
    <phoneticPr fontId="1" type="noConversion"/>
  </si>
  <si>
    <t>方殼33*50 適配5.6二級管</t>
    <phoneticPr fontId="1" type="noConversion"/>
  </si>
  <si>
    <t>https://shopee.tw/%E5%A4%A7%E8%B3%A3-%E6%BF%80%E5%85%89%E4%BA%8C%E6%A5%B5%E7%AE%A1%E5%A4%96%E6%AE%BC%E4%BA%94%E9%87%91%E4%BB%B6%E6%A8%A1%E7%B5%84-%E9%85%8D%E4%BB%B6%E7%B5%84%E8%A3%9D%E9%8F%A1%E7%89%87%E7%B5%84-%E6%95%A3%E7%86%B1%E4%BB%B6-3.8-5.6-9.0mm-iput6z1a1e-i.1144085257.26012425411?xptdk=c147c8ce-f447-4c94-ae70-3e91ff0cd098</t>
    <phoneticPr fontId="1" type="noConversion"/>
  </si>
  <si>
    <t>Objective Lens</t>
    <phoneticPr fontId="6" type="noConversion"/>
  </si>
  <si>
    <t>Olympus PLN 10X Objective</t>
    <phoneticPr fontId="6" type="noConversion"/>
  </si>
  <si>
    <t>Olympus PLN 10X Objective | Edmund Optics</t>
  </si>
  <si>
    <t>Dia.</t>
    <phoneticPr fontId="6" type="noConversion"/>
  </si>
  <si>
    <t>weight</t>
    <phoneticPr fontId="6" type="noConversion"/>
  </si>
  <si>
    <t>FMG-1.3 1-5um - 500mg</t>
    <phoneticPr fontId="6" type="noConversion"/>
  </si>
  <si>
    <t>FMG - Green Fluorescent Microspheres 1.3g/cc 1-5um - 500mg</t>
    <phoneticPr fontId="6" type="noConversion"/>
  </si>
  <si>
    <t>1-5um</t>
    <phoneticPr fontId="6" type="noConversion"/>
  </si>
  <si>
    <t>0.5g</t>
    <phoneticPr fontId="6" type="noConversion"/>
  </si>
  <si>
    <t>FMG - Green UV Fluorescent Polymer Microspheres, Particles, Powder - Density 1.3g/cc 1-5micron (um) - In Stock</t>
  </si>
  <si>
    <t>Raspberry pi camera v2</t>
    <phoneticPr fontId="1" type="noConversion"/>
  </si>
  <si>
    <t>TMC2209</t>
    <phoneticPr fontId="1" type="noConversion"/>
  </si>
  <si>
    <t>Raspberry pi 5 16G</t>
    <phoneticPr fontId="1" type="noConversion"/>
  </si>
  <si>
    <t>SC1148 Raspberry Pi | Mouser 臺灣</t>
  </si>
  <si>
    <t>SC1130 Raspberry Pi | Mouser 臺灣</t>
  </si>
  <si>
    <t>SC0023 Raspberry Pi | Mouser 臺灣</t>
  </si>
  <si>
    <t>SC1113 Raspberry Pi | Mouser 臺灣</t>
  </si>
  <si>
    <t>Nema17</t>
    <phoneticPr fontId="1" type="noConversion"/>
  </si>
  <si>
    <t>【環島科技】42 步進馬達 型號齊全 42BYG 步進馬達 台灣現貨 3D印表機 步進電機 NEMA17 驅動控制器 | 蝦皮購物</t>
  </si>
  <si>
    <t>JQC-3FF 5V</t>
    <phoneticPr fontId="1" type="noConversion"/>
  </si>
  <si>
    <t>繼電器模組</t>
    <phoneticPr fontId="1" type="noConversion"/>
  </si>
  <si>
    <t>Arduino Uno R3</t>
    <phoneticPr fontId="1" type="noConversion"/>
  </si>
  <si>
    <t>CNC shield v3</t>
    <phoneticPr fontId="1" type="noConversion"/>
  </si>
  <si>
    <t>XQEAWT-H0-0000-00000BFE1-SB01 New Energy | Mouser 臺灣</t>
  </si>
  <si>
    <t>LED White</t>
    <phoneticPr fontId="1" type="noConversion"/>
  </si>
  <si>
    <t>LED Blue</t>
    <phoneticPr fontId="1" type="noConversion"/>
  </si>
  <si>
    <t>LZ4- 40B208</t>
    <phoneticPr fontId="1" type="noConversion"/>
  </si>
  <si>
    <t>6500 K, 70 CRI Starboard XQE</t>
    <phoneticPr fontId="1" type="noConversion"/>
  </si>
  <si>
    <t>恆壓恆流模組</t>
  </si>
  <si>
    <t>XL4015</t>
    <phoneticPr fontId="1" type="noConversion"/>
  </si>
  <si>
    <t>42BYG34</t>
    <phoneticPr fontId="1" type="noConversion"/>
  </si>
  <si>
    <t>Raspberry Pi 5</t>
    <phoneticPr fontId="6" type="noConversion"/>
  </si>
  <si>
    <t>mouser</t>
    <phoneticPr fontId="1" type="noConversion"/>
  </si>
  <si>
    <t>4GB</t>
    <phoneticPr fontId="1" type="noConversion"/>
  </si>
  <si>
    <t>BLItemNo</t>
  </si>
  <si>
    <t>PartName</t>
  </si>
  <si>
    <t>Qty</t>
  </si>
  <si>
    <t>Corner 2 x 2</t>
  </si>
  <si>
    <t>Brick 2 x 6</t>
  </si>
  <si>
    <t xml:space="preserve">Brick 1 x 2 </t>
  </si>
  <si>
    <t>Brick 2x2</t>
  </si>
  <si>
    <t>Brick 2x4</t>
  </si>
  <si>
    <t>Brick 2x8</t>
  </si>
  <si>
    <t>$</t>
    <phoneticPr fontId="1" type="noConversion"/>
  </si>
  <si>
    <t>11026 </t>
  </si>
  <si>
    <t>Brick 1 x 16</t>
    <phoneticPr fontId="1" type="noConversion"/>
  </si>
  <si>
    <t>Baseplate</t>
    <phoneticPr fontId="1" type="noConversion"/>
  </si>
  <si>
    <t>Bidbuy4u</t>
  </si>
  <si>
    <t>Stage</t>
    <phoneticPr fontId="1" type="noConversion"/>
  </si>
  <si>
    <t xml:space="preserve">Lego </t>
    <phoneticPr fontId="1" type="noConversion"/>
  </si>
  <si>
    <t>Base Damping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</si>
</sst>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rlabs.com/thorproduct.cfm?partnumber=FGL495" TargetMode="External"/><Relationship Id="rId7" Type="http://schemas.openxmlformats.org/officeDocument/2006/relationships/hyperlink" Target="https://www.edmundoptics.com.tw/p/olympus-pln-10x-objective/29222/" TargetMode="External"/><Relationship Id="rId2" Type="http://schemas.openxmlformats.org/officeDocument/2006/relationships/hyperlink" Target="https://www.edmundoptics.com/p/25mm-dia-x-20mm-fl-mgfsub2sub-coated-molded-aspheric-condenser-lens/43075/" TargetMode="External"/><Relationship Id="rId1" Type="http://schemas.openxmlformats.org/officeDocument/2006/relationships/hyperlink" Target="https://www.edmundoptics.com/p/25mm-diameter-600-grit-ground-glass-diffuser/39970/" TargetMode="External"/><Relationship Id="rId6" Type="http://schemas.openxmlformats.org/officeDocument/2006/relationships/hyperlink" Target="https://www.thorlabs.com/item/ACL12708U?aID=f9abf3060ac4001787dec53829fb8b65&amp;aC=1" TargetMode="External"/><Relationship Id="rId5" Type="http://schemas.openxmlformats.org/officeDocument/2006/relationships/hyperlink" Target="https://www.edmundoptics.com.tw/p/500nm-25mm-dia-od-20-shortpass-filter/43489/" TargetMode="External"/><Relationship Id="rId4" Type="http://schemas.openxmlformats.org/officeDocument/2006/relationships/hyperlink" Target="https://www.thorlabs.com/thorproduct.cfm?partnumber=DMLP49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tw/%E3%80%90%E4%B8%8D%E5%9B%89%E5%97%A624H%E9%80%81%E5%87%BA%E3%80%91M3-%E8%9E%BA%E7%B5%B2-%E9%95%B7%E5%BA%A63-150mm-M3x0.5P-%E5%85%A8%E7%89%99-%E5%9C%93%E9%A0%AD%E5%85%A7%E5%85%AD%E8%A7%92-%E5%8A%A0%E9%95%B7%E8%9E%BA%E7%B5%B2-304%E4%B8%8D%E9%8F%BD%E9%8B%BC-%E6%A9%9F%E6%A2%B0%E7%89%99-i.3743756.1174121069?sp_atk=b8de2a05-6917-45d8-a8f3-df7f7fbb1627&amp;xptdk=b8de2a05-6917-45d8-a8f3-df7f7fbb1627" TargetMode="External"/><Relationship Id="rId2" Type="http://schemas.openxmlformats.org/officeDocument/2006/relationships/hyperlink" Target="https://shopee.tw/%E3%80%90%E4%B8%8D%E5%9B%89%E5%97%A624H%E9%80%81%E5%87%BA%E3%80%91%E6%BB%BE%E7%8F%A0%E8%BB%B8%E6%89%BF-%E5%A4%9A%E5%B0%BA%E5%AF%B8-%E5%85%A7%E5%BE%917-8mm-%E8%96%84%E5%9E%8B%E8%BB%B8%E6%89%BF-%E5%BE%AE%E5%9E%8B%E8%BB%B8%E6%89%BF-bearing-%E5%9F%B9%E6%9E%97-%E8%BB%B8%E6%89%BF-%E8%BB%B8%E6%89%BF%E9%8B%BC-i.3743756.784018253?sp_atk=288d4f08-3d42-4a90-894e-e43c2322d6b6&amp;xptdk=288d4f08-3d42-4a90-894e-e43c2322d6b6" TargetMode="External"/><Relationship Id="rId1" Type="http://schemas.openxmlformats.org/officeDocument/2006/relationships/hyperlink" Target="https://shopee.tw/%E3%80%90%E4%B8%8D%E5%9B%89%E5%97%A624H%E9%80%81%E5%87%BA%E3%80%91T8%E8%9E%BA%E6%A1%BF-%E5%B0%8E%E7%A8%8B2-4-8-14mm-%E5%B0%8E%E7%A8%8B-%E9%95%B7%E5%BA%A6100-400mm-T8-%E5%82%B3%E5%8B%95-%E8%9E%BA%E6%A1%BF-%E8%A7%92%E7%89%99-%E6%A2%AF%E5%9E%8B%E8%9E%BA%E6%A1%BF-i.3743756.449821830" TargetMode="External"/><Relationship Id="rId4" Type="http://schemas.openxmlformats.org/officeDocument/2006/relationships/hyperlink" Target="https://shopee.tw/%E3%80%90%E4%B8%8D%E5%9B%89%E5%97%A624H%E9%80%81%E5%87%BA%E3%80%91M2-M3-M4-M5-M6-M8-M10-M12-1-4-5-16-%E5%9B%9B%E6%96%B9%E8%9E%BA%E6%AF%8D-%E6%96%B9%E8%9E%BA%E6%AF%8D-%E9%8B%81%E6%93%A0%E5%9E%8B-i.3743756.1196687711?sp_atk=44cd5cb7-4812-4baf-857a-f64cbd24db0a&amp;xptdk=44cd5cb7-4812-4baf-857a-f64cbd24db0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hopee.tw/%E7%9D%BF%E5%82%91%E5%B7%A5%E6%A5%AD-%E7%8F%BE%E8%B2%A8-%E5%8E%9A1cm-%E6%A9%A1%E8%86%A0%E5%A2%8A-%E6%94%BF%E5%BA%9C%E7%AB%8B%E6%A1%88-%E5%8F%AF%E9%96%8B%E6%94%B6%E6%93%9A-%E6%A9%A1%E8%86%A0%E6%9D%BF-%E6%A9%9F%E8%BB%8A%E5%A2%8A-%E6%B0%B4%E6%BA%9D%E5%A2%8A-%E6%AD%A2%E6%BB%91%E5%A2%8A-%E6%B4%97%E8%A1%A3%E6%A9%9F%E5%A2%8A-%E7%B5%95%E7%B7%A3-%E9%98%B2%E9%9C%87-%E7%B7%A9%E8%A1%9D-%E5%8F%B0%E7%81%A3%E8%A3%BD-i.160282721.8729421268?xptdk=d52f904b-58af-4212-8d2b-8141bbd37832" TargetMode="External"/><Relationship Id="rId1" Type="http://schemas.openxmlformats.org/officeDocument/2006/relationships/hyperlink" Target="https://shopee.tw/%E5%A4%A9%E7%84%B6%E5%A4%A7%E7%90%86%E7%9F%B3%E6%9D%BF%EF%B9%9D%E5%A4%A7%E5%B0%BA%E5%AF%B8%E9%A0%81%E9%9D%A2%EF%B9%9E-%E8%8A%B1%E5%B4%97-%E5%B2%A9%E6%9D%BF-%E7%83%98%E7%84%99-%E6%8F%89%E9%BA%B5%E6%9D%BF-%E5%88%80%E5%88%87%E7%A0%A7%E6%9D%BF-%E4%B8%AD%E5%B3%B6%E6%AA%AF%E9%9D%A2-%E5%B7%A5%E4%BD%9C%E6%A1%8C%E5%A2%8A-%E7%82%99%E7%87%92%E5%A2%8A%E6%9D%BF-%E9%9F%B3%E9%9F%BF%E5%A2%8A-%E7%9A%AE%E9%9B%95%E9%87%91%E5%B7%A5-%E6%95%B2%E6%93%8A%E6%A1%8C%E6%9D%BF-i.4796262.1317999823?xptdk=a230658c-ecde-4c22-8e8e-0e72929b7d2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dbuy4u.com.tw/e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tw/ProductDetail/Raspberry-Pi/SC1130?qs=HoCaDK9Nz5cq1J6nVlnj%252Bw%3D%3D" TargetMode="External"/><Relationship Id="rId7" Type="http://schemas.openxmlformats.org/officeDocument/2006/relationships/hyperlink" Target="https://www.mouser.tw/ProductDetail/New-Energy/XQEAWT-H0-0000-00000BFE1-SB01?qs=sGAEpiMZZMuCm2JlHBGefkkhfay1hsQkqv6memqJaKAqbnmChw5J4A%3D%3D" TargetMode="External"/><Relationship Id="rId2" Type="http://schemas.openxmlformats.org/officeDocument/2006/relationships/hyperlink" Target="https://www.mouser.tw/ProductDetail/Raspberry-Pi/SC1148?qs=HoCaDK9Nz5fqo0izK2taew%3D%3D" TargetMode="External"/><Relationship Id="rId1" Type="http://schemas.openxmlformats.org/officeDocument/2006/relationships/hyperlink" Target="https://shopee.tw/%E5%85%A8%E6%96%B0-450nm-445nm-%E8%97%8D%E5%85%89%E9%9B%B7%E5%B0%84%E4%BA%8C%E6%A5%B5%E9%AB%94-5.6mm-80mw-1.6w-LD-laser-diode-i.1144085257.46054340871?xptdk=f45a144c-a2df-4fcc-bc2c-c93b51dfd8b1" TargetMode="External"/><Relationship Id="rId6" Type="http://schemas.openxmlformats.org/officeDocument/2006/relationships/hyperlink" Target="https://shopee.tw/%E3%80%90%E7%92%B0%E5%B3%B6%E7%A7%91%E6%8A%80%E3%80%9142-%E6%AD%A5%E9%80%B2%E9%A6%AC%E9%81%94-%E5%9E%8B%E8%99%9F%E9%BD%8A%E5%85%A8-42BYG-%E6%AD%A5%E9%80%B2%E9%A6%AC%E9%81%94-%E5%8F%B0%E7%81%A3%E7%8F%BE%E8%B2%A8-3D%E5%8D%B0%E8%A1%A8%E6%A9%9F-%E6%AD%A5%E9%80%B2%E9%9B%BB%E6%A9%9F-NEMA17-%E9%A9%85%E5%8B%95%E6%8E%A7%E5%88%B6%E5%99%A8-i.280233910.27876873725?extraParams=%7B%22display_model_id%22%3A205805030369%2C%22model_selection_logic%22%3A3%7D&amp;sp_atk=f42dae3b-1525-426b-9a87-cb65c4026340&amp;xptdk=f42dae3b-1525-426b-9a87-cb65c4026340" TargetMode="External"/><Relationship Id="rId5" Type="http://schemas.openxmlformats.org/officeDocument/2006/relationships/hyperlink" Target="https://www.mouser.tw/ProductDetail/Raspberry-Pi/SC1113?qs=a2MtRaTmNOQZp5XJGfiB8A%3D%3D" TargetMode="External"/><Relationship Id="rId4" Type="http://schemas.openxmlformats.org/officeDocument/2006/relationships/hyperlink" Target="https://www.mouser.tw/ProductDetail/Raspberry-Pi/SC0023?qs=T%252BzbugeAwjgRU4vb4%252BbLIg%3D%3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spheric.com/FMG_green_fluorescent_polymer_microspheres_1micro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0726-52AE-47F9-801F-907EC2F7E895}">
  <dimension ref="A1:I30"/>
  <sheetViews>
    <sheetView zoomScale="115" zoomScaleNormal="115" workbookViewId="0">
      <selection activeCell="K22" sqref="K22"/>
    </sheetView>
  </sheetViews>
  <sheetFormatPr defaultRowHeight="16.5" x14ac:dyDescent="0.25"/>
  <cols>
    <col min="1" max="1" width="16.75" bestFit="1" customWidth="1"/>
    <col min="2" max="2" width="6.5" bestFit="1" customWidth="1"/>
    <col min="3" max="3" width="2.5" bestFit="1" customWidth="1"/>
    <col min="4" max="4" width="6.5" bestFit="1" customWidth="1"/>
    <col min="5" max="5" width="2.5" bestFit="1" customWidth="1"/>
    <col min="9" max="9" width="2" bestFit="1" customWidth="1"/>
  </cols>
  <sheetData>
    <row r="1" spans="1:9" ht="21" x14ac:dyDescent="0.25">
      <c r="A1" s="15" t="s">
        <v>4</v>
      </c>
      <c r="B1" s="5">
        <v>28125</v>
      </c>
      <c r="C1" s="3"/>
      <c r="D1" s="3"/>
      <c r="E1" s="3"/>
    </row>
    <row r="2" spans="1:9" ht="18.75" x14ac:dyDescent="0.25">
      <c r="A2" s="15" t="s">
        <v>117</v>
      </c>
      <c r="B2" s="5">
        <v>3012</v>
      </c>
    </row>
    <row r="3" spans="1:9" ht="18.75" x14ac:dyDescent="0.25">
      <c r="A3" s="15" t="s">
        <v>119</v>
      </c>
      <c r="B3" s="5">
        <v>788</v>
      </c>
    </row>
    <row r="4" spans="1:9" ht="18.75" x14ac:dyDescent="0.25">
      <c r="A4" s="15" t="s">
        <v>118</v>
      </c>
      <c r="B4" s="5">
        <v>1896</v>
      </c>
      <c r="E4" s="1"/>
    </row>
    <row r="5" spans="1:9" ht="18.75" x14ac:dyDescent="0.25">
      <c r="A5" s="15" t="s">
        <v>3</v>
      </c>
      <c r="B5" s="5">
        <v>8093</v>
      </c>
      <c r="E5" s="1"/>
    </row>
    <row r="6" spans="1:9" ht="19.5" x14ac:dyDescent="0.25">
      <c r="A6" s="14"/>
      <c r="B6" s="5">
        <f>SUM(B1:B5)</f>
        <v>41914</v>
      </c>
    </row>
    <row r="7" spans="1:9" ht="19.5" x14ac:dyDescent="0.25">
      <c r="A7" s="13"/>
      <c r="B7" s="5"/>
      <c r="I7" t="s">
        <v>2</v>
      </c>
    </row>
    <row r="9" spans="1:9" ht="19.5" x14ac:dyDescent="0.25">
      <c r="A9" s="13"/>
      <c r="B9" s="5"/>
      <c r="E9" s="1"/>
    </row>
    <row r="10" spans="1:9" x14ac:dyDescent="0.25">
      <c r="A10" s="5"/>
      <c r="B10" s="12"/>
      <c r="C10" s="1"/>
      <c r="D10" s="1"/>
      <c r="E10" s="1"/>
    </row>
    <row r="11" spans="1:9" x14ac:dyDescent="0.25">
      <c r="B11" s="2"/>
      <c r="C11" s="1"/>
      <c r="D11" s="1"/>
      <c r="E11" s="1"/>
    </row>
    <row r="12" spans="1:9" x14ac:dyDescent="0.25">
      <c r="B12" s="2"/>
      <c r="C12" s="1"/>
      <c r="D12" s="1"/>
      <c r="E12" s="1"/>
    </row>
    <row r="13" spans="1:9" x14ac:dyDescent="0.25">
      <c r="E13" s="1"/>
    </row>
    <row r="14" spans="1:9" x14ac:dyDescent="0.25">
      <c r="C14" s="1"/>
      <c r="D14" s="1"/>
      <c r="E14" s="1"/>
    </row>
    <row r="15" spans="1:9" x14ac:dyDescent="0.25">
      <c r="C15" s="1"/>
      <c r="D15" s="1"/>
      <c r="E15" s="1"/>
    </row>
    <row r="16" spans="1:9" x14ac:dyDescent="0.25">
      <c r="E16" s="1"/>
    </row>
    <row r="17" spans="1:6" x14ac:dyDescent="0.25">
      <c r="E17" s="1"/>
    </row>
    <row r="18" spans="1:6" x14ac:dyDescent="0.25">
      <c r="B18" s="2"/>
      <c r="C18" s="1"/>
      <c r="D18" s="1"/>
      <c r="E18" s="1"/>
      <c r="F18" s="4"/>
    </row>
    <row r="19" spans="1:6" x14ac:dyDescent="0.25">
      <c r="C19" s="1"/>
      <c r="D19" s="1"/>
      <c r="E19" s="1"/>
    </row>
    <row r="23" spans="1:6" x14ac:dyDescent="0.25">
      <c r="A23" s="5"/>
      <c r="C23" s="1"/>
      <c r="D23" s="1"/>
      <c r="E23" s="1"/>
    </row>
    <row r="24" spans="1:6" x14ac:dyDescent="0.25">
      <c r="A24" s="6"/>
      <c r="C24" s="1"/>
      <c r="D24" s="1"/>
      <c r="E24" s="1"/>
    </row>
    <row r="25" spans="1:6" x14ac:dyDescent="0.25">
      <c r="A25" s="5"/>
      <c r="C25" s="1"/>
      <c r="D25" s="1"/>
      <c r="E25" s="1"/>
    </row>
    <row r="26" spans="1:6" x14ac:dyDescent="0.25">
      <c r="A26" s="5"/>
      <c r="C26" s="1"/>
      <c r="D26" s="1"/>
      <c r="E26" s="1"/>
    </row>
    <row r="27" spans="1:6" x14ac:dyDescent="0.25">
      <c r="A27" s="5"/>
      <c r="C27" s="1"/>
      <c r="D27" s="1"/>
      <c r="E27" s="1"/>
    </row>
    <row r="28" spans="1:6" x14ac:dyDescent="0.25">
      <c r="C28" s="1"/>
      <c r="D28" s="1"/>
      <c r="E28" s="1"/>
    </row>
    <row r="30" spans="1:6" x14ac:dyDescent="0.25">
      <c r="E30" s="1">
        <f>SUM(E4:E28)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46E4-DAD6-4C2F-8067-69FB7B9E7E3C}">
  <dimension ref="A1:D17"/>
  <sheetViews>
    <sheetView workbookViewId="0">
      <selection activeCell="D19" sqref="D19"/>
    </sheetView>
  </sheetViews>
  <sheetFormatPr defaultRowHeight="16.5" x14ac:dyDescent="0.25"/>
  <cols>
    <col min="1" max="1" width="21.375" bestFit="1" customWidth="1"/>
    <col min="2" max="2" width="63.875" bestFit="1" customWidth="1"/>
    <col min="3" max="3" width="6.5" bestFit="1" customWidth="1"/>
    <col min="4" max="4" width="255.625" bestFit="1" customWidth="1"/>
  </cols>
  <sheetData>
    <row r="1" spans="1:4" x14ac:dyDescent="0.25">
      <c r="A1" s="1"/>
      <c r="B1" s="7" t="s">
        <v>10</v>
      </c>
      <c r="C1" s="7" t="s">
        <v>49</v>
      </c>
      <c r="D1" s="7" t="s">
        <v>14</v>
      </c>
    </row>
    <row r="2" spans="1:4" x14ac:dyDescent="0.25">
      <c r="A2" s="5" t="s">
        <v>8</v>
      </c>
      <c r="B2" s="5" t="s">
        <v>50</v>
      </c>
      <c r="C2" s="1">
        <v>678</v>
      </c>
      <c r="D2" s="8" t="s">
        <v>51</v>
      </c>
    </row>
    <row r="3" spans="1:4" x14ac:dyDescent="0.25">
      <c r="A3" s="6" t="s">
        <v>9</v>
      </c>
      <c r="B3" s="5" t="s">
        <v>52</v>
      </c>
      <c r="C3" s="1">
        <v>1391</v>
      </c>
      <c r="D3" s="8" t="s">
        <v>53</v>
      </c>
    </row>
    <row r="5" spans="1:4" x14ac:dyDescent="0.25">
      <c r="A5" t="s">
        <v>54</v>
      </c>
      <c r="B5" s="5" t="s">
        <v>55</v>
      </c>
      <c r="C5" s="1">
        <v>604</v>
      </c>
      <c r="D5" s="8" t="s">
        <v>56</v>
      </c>
    </row>
    <row r="7" spans="1:4" x14ac:dyDescent="0.25">
      <c r="A7" s="5" t="s">
        <v>7</v>
      </c>
      <c r="B7" s="5" t="s">
        <v>57</v>
      </c>
      <c r="C7" s="1">
        <v>4025</v>
      </c>
      <c r="D7" s="8" t="s">
        <v>58</v>
      </c>
    </row>
    <row r="8" spans="1:4" x14ac:dyDescent="0.25">
      <c r="A8" s="5" t="s">
        <v>6</v>
      </c>
      <c r="B8" s="5" t="s">
        <v>59</v>
      </c>
      <c r="C8" s="1">
        <v>6774</v>
      </c>
      <c r="D8" s="8" t="s">
        <v>60</v>
      </c>
    </row>
    <row r="9" spans="1:4" x14ac:dyDescent="0.25">
      <c r="A9" s="5" t="s">
        <v>5</v>
      </c>
      <c r="B9" s="5" t="s">
        <v>61</v>
      </c>
      <c r="C9" s="1">
        <v>1482</v>
      </c>
      <c r="D9" s="8" t="s">
        <v>62</v>
      </c>
    </row>
    <row r="10" spans="1:4" x14ac:dyDescent="0.25">
      <c r="A10" s="5"/>
      <c r="B10" s="5"/>
      <c r="C10" s="1"/>
      <c r="D10" s="5"/>
    </row>
    <row r="11" spans="1:4" x14ac:dyDescent="0.25">
      <c r="A11" s="10" t="s">
        <v>69</v>
      </c>
      <c r="B11" s="5" t="s">
        <v>70</v>
      </c>
      <c r="C11" s="1">
        <v>13171</v>
      </c>
      <c r="D11" s="4" t="s">
        <v>71</v>
      </c>
    </row>
    <row r="13" spans="1:4" x14ac:dyDescent="0.25">
      <c r="B13" s="5"/>
      <c r="C13">
        <f>SUM(C2:C11)</f>
        <v>28125</v>
      </c>
    </row>
    <row r="14" spans="1:4" x14ac:dyDescent="0.25">
      <c r="B14" s="5"/>
    </row>
    <row r="15" spans="1:4" x14ac:dyDescent="0.25">
      <c r="B15" s="5"/>
    </row>
    <row r="16" spans="1:4" x14ac:dyDescent="0.25">
      <c r="B16" s="1"/>
    </row>
    <row r="17" spans="2:2" x14ac:dyDescent="0.25">
      <c r="B17" s="1"/>
    </row>
  </sheetData>
  <phoneticPr fontId="1" type="noConversion"/>
  <hyperlinks>
    <hyperlink ref="D5" r:id="rId1" display="https://www.edmundoptics.com/p/25mm-diameter-600-grit-ground-glass-diffuser/39970/" xr:uid="{26324282-79DF-4EED-964F-9EC0DE908DF7}"/>
    <hyperlink ref="D3" r:id="rId2" xr:uid="{F04C9805-C70F-481D-9AC2-353B3C53A4C3}"/>
    <hyperlink ref="D9" r:id="rId3" xr:uid="{D93606DF-E39D-4E8C-A79B-2EAF3D1F2087}"/>
    <hyperlink ref="D8" r:id="rId4" xr:uid="{3B444800-F01B-4062-B3EC-C86A81DDBE59}"/>
    <hyperlink ref="D7" r:id="rId5" xr:uid="{6BCC6483-F293-444B-AF31-BBF33A4D69B4}"/>
    <hyperlink ref="D2" r:id="rId6" xr:uid="{F2F8E2BE-8F9E-4E93-A4B5-023412517D4E}"/>
    <hyperlink ref="D11" r:id="rId7" display="https://www.edmundoptics.com.tw/p/olympus-pln-10x-objective/29222/" xr:uid="{58A4C7F1-167E-4402-AA71-1CC5C9AC0E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C28-FD09-464D-AEB1-CA5C9173C047}">
  <dimension ref="A1:F20"/>
  <sheetViews>
    <sheetView tabSelected="1" workbookViewId="0">
      <selection activeCell="F15" sqref="F15"/>
    </sheetView>
  </sheetViews>
  <sheetFormatPr defaultRowHeight="16.5" x14ac:dyDescent="0.25"/>
  <cols>
    <col min="1" max="1" width="14" bestFit="1" customWidth="1"/>
    <col min="2" max="2" width="24" bestFit="1" customWidth="1"/>
    <col min="3" max="3" width="8.25" bestFit="1" customWidth="1"/>
    <col min="4" max="4" width="5.375" bestFit="1" customWidth="1"/>
    <col min="5" max="5" width="5.5" bestFit="1" customWidth="1"/>
    <col min="6" max="6" width="255.625" bestFit="1" customWidth="1"/>
  </cols>
  <sheetData>
    <row r="1" spans="1:6" x14ac:dyDescent="0.25">
      <c r="A1" s="6"/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</row>
    <row r="2" spans="1:6" x14ac:dyDescent="0.25">
      <c r="A2" s="6" t="s">
        <v>15</v>
      </c>
      <c r="B2" t="s">
        <v>16</v>
      </c>
      <c r="C2" s="1">
        <v>1</v>
      </c>
      <c r="D2" s="1">
        <v>470</v>
      </c>
      <c r="E2" s="1">
        <f t="shared" ref="E2:E3" si="0">C2*D2</f>
        <v>470</v>
      </c>
      <c r="F2" s="4" t="s">
        <v>17</v>
      </c>
    </row>
    <row r="3" spans="1:6" x14ac:dyDescent="0.25">
      <c r="B3" t="s">
        <v>18</v>
      </c>
      <c r="C3" s="1">
        <v>2</v>
      </c>
      <c r="D3" s="1">
        <v>440</v>
      </c>
      <c r="E3" s="1">
        <f t="shared" si="0"/>
        <v>880</v>
      </c>
    </row>
    <row r="4" spans="1:6" x14ac:dyDescent="0.25">
      <c r="B4" t="s">
        <v>19</v>
      </c>
      <c r="C4" s="1">
        <v>1</v>
      </c>
      <c r="D4" s="1">
        <v>415</v>
      </c>
      <c r="E4" s="1">
        <f>C4*D4</f>
        <v>415</v>
      </c>
      <c r="F4" s="4"/>
    </row>
    <row r="5" spans="1:6" x14ac:dyDescent="0.25">
      <c r="A5" t="s">
        <v>20</v>
      </c>
      <c r="B5" t="s">
        <v>21</v>
      </c>
      <c r="C5" s="1">
        <v>1</v>
      </c>
      <c r="D5" s="1">
        <v>220</v>
      </c>
      <c r="E5" s="1">
        <f>C5*D5</f>
        <v>220</v>
      </c>
      <c r="F5" t="s">
        <v>22</v>
      </c>
    </row>
    <row r="6" spans="1:6" x14ac:dyDescent="0.25">
      <c r="B6" t="s">
        <v>23</v>
      </c>
      <c r="C6" s="1">
        <v>1</v>
      </c>
      <c r="D6" s="1">
        <v>180</v>
      </c>
      <c r="E6" s="1">
        <f>C6*D6</f>
        <v>180</v>
      </c>
    </row>
    <row r="7" spans="1:6" x14ac:dyDescent="0.25">
      <c r="B7" t="s">
        <v>24</v>
      </c>
      <c r="C7" s="1">
        <v>1</v>
      </c>
      <c r="D7" s="1">
        <v>130</v>
      </c>
      <c r="E7" s="1">
        <f>C7*D7</f>
        <v>130</v>
      </c>
    </row>
    <row r="8" spans="1:6" x14ac:dyDescent="0.25">
      <c r="A8" t="s">
        <v>25</v>
      </c>
      <c r="B8" t="s">
        <v>26</v>
      </c>
      <c r="C8" s="1">
        <v>2</v>
      </c>
      <c r="D8" s="1">
        <v>60</v>
      </c>
      <c r="E8" s="1">
        <f t="shared" ref="E8:E15" si="1">C8*D8</f>
        <v>120</v>
      </c>
      <c r="F8" s="4" t="s">
        <v>27</v>
      </c>
    </row>
    <row r="9" spans="1:6" x14ac:dyDescent="0.25">
      <c r="A9" t="s">
        <v>28</v>
      </c>
      <c r="B9" t="s">
        <v>29</v>
      </c>
      <c r="C9" s="1">
        <v>1</v>
      </c>
      <c r="D9" s="1">
        <v>80</v>
      </c>
      <c r="E9" s="1">
        <f t="shared" si="1"/>
        <v>80</v>
      </c>
      <c r="F9" s="4" t="s">
        <v>27</v>
      </c>
    </row>
    <row r="10" spans="1:6" x14ac:dyDescent="0.25">
      <c r="A10" t="s">
        <v>30</v>
      </c>
      <c r="B10" t="s">
        <v>31</v>
      </c>
      <c r="C10" s="1">
        <v>3</v>
      </c>
      <c r="D10" s="1">
        <v>60</v>
      </c>
      <c r="E10" s="1">
        <f t="shared" si="1"/>
        <v>180</v>
      </c>
      <c r="F10" s="4" t="s">
        <v>32</v>
      </c>
    </row>
    <row r="11" spans="1:6" x14ac:dyDescent="0.25">
      <c r="A11" t="s">
        <v>33</v>
      </c>
      <c r="B11" t="s">
        <v>34</v>
      </c>
      <c r="C11" s="1">
        <v>3</v>
      </c>
      <c r="D11" s="1">
        <v>15</v>
      </c>
      <c r="E11" s="1">
        <f t="shared" si="1"/>
        <v>45</v>
      </c>
      <c r="F11" s="4" t="s">
        <v>35</v>
      </c>
    </row>
    <row r="12" spans="1:6" x14ac:dyDescent="0.25">
      <c r="A12" t="s">
        <v>36</v>
      </c>
      <c r="B12" t="s">
        <v>37</v>
      </c>
      <c r="C12" s="1">
        <v>3</v>
      </c>
      <c r="D12" s="1">
        <v>26</v>
      </c>
      <c r="E12" s="1">
        <f t="shared" si="1"/>
        <v>78</v>
      </c>
      <c r="F12" s="4" t="s">
        <v>38</v>
      </c>
    </row>
    <row r="13" spans="1:6" x14ac:dyDescent="0.25">
      <c r="B13" t="s">
        <v>39</v>
      </c>
      <c r="C13" s="1">
        <v>3</v>
      </c>
      <c r="D13" s="1">
        <v>26</v>
      </c>
      <c r="E13" s="1">
        <f t="shared" si="1"/>
        <v>78</v>
      </c>
    </row>
    <row r="14" spans="1:6" x14ac:dyDescent="0.25">
      <c r="B14" t="s">
        <v>40</v>
      </c>
      <c r="C14" s="1">
        <v>2</v>
      </c>
      <c r="D14" s="1">
        <v>32</v>
      </c>
      <c r="E14" s="1">
        <f t="shared" si="1"/>
        <v>64</v>
      </c>
    </row>
    <row r="15" spans="1:6" x14ac:dyDescent="0.25">
      <c r="A15" t="s">
        <v>41</v>
      </c>
      <c r="B15" t="s">
        <v>42</v>
      </c>
      <c r="C15" s="1">
        <v>3</v>
      </c>
      <c r="D15" s="1">
        <v>24</v>
      </c>
      <c r="E15" s="1">
        <f t="shared" si="1"/>
        <v>72</v>
      </c>
      <c r="F15" s="4" t="s">
        <v>43</v>
      </c>
    </row>
    <row r="16" spans="1:6" x14ac:dyDescent="0.25">
      <c r="C16" s="1"/>
      <c r="E16">
        <f>SUM(E2:E15)</f>
        <v>3012</v>
      </c>
    </row>
    <row r="18" spans="1:6" x14ac:dyDescent="0.25">
      <c r="A18" s="6"/>
      <c r="B18" s="7"/>
      <c r="C18" s="7"/>
      <c r="D18" s="7"/>
      <c r="E18" s="7"/>
      <c r="F18" s="7"/>
    </row>
    <row r="19" spans="1:6" x14ac:dyDescent="0.25">
      <c r="A19" s="6"/>
      <c r="B19" s="1"/>
      <c r="C19" s="1"/>
      <c r="D19" s="1"/>
      <c r="E19" s="1"/>
      <c r="F19" s="4"/>
    </row>
    <row r="20" spans="1:6" x14ac:dyDescent="0.25">
      <c r="B20" s="1"/>
      <c r="C20" s="1"/>
      <c r="D20" s="1"/>
      <c r="E20" s="1"/>
      <c r="F20" s="4"/>
    </row>
  </sheetData>
  <phoneticPr fontId="1" type="noConversion"/>
  <hyperlinks>
    <hyperlink ref="F8" r:id="rId1" display="https://shopee.tw/%E3%80%90%E4%B8%8D%E5%9B%89%E5%97%A624H%E9%80%81%E5%87%BA%E3%80%91T8%E8%9E%BA%E6%A1%BF-%E5%B0%8E%E7%A8%8B2-4-8-14mm-%E5%B0%8E%E7%A8%8B-%E9%95%B7%E5%BA%A6100-400mm-T8-%E5%82%B3%E5%8B%95-%E8%9E%BA%E6%A1%BF-%E8%A7%92%E7%89%99-%E6%A2%AF%E5%9E%8B%E8%9E%BA%E6%A1%BF-i.3743756.449821830" xr:uid="{FDBD6827-A76C-4107-BD70-3748F480D1D2}"/>
    <hyperlink ref="F11" r:id="rId2" display="https://shopee.tw/%E3%80%90%E4%B8%8D%E5%9B%89%E5%97%A624H%E9%80%81%E5%87%BA%E3%80%91%E6%BB%BE%E7%8F%A0%E8%BB%B8%E6%89%BF-%E5%A4%9A%E5%B0%BA%E5%AF%B8-%E5%85%A7%E5%BE%917-8mm-%E8%96%84%E5%9E%8B%E8%BB%B8%E6%89%BF-%E5%BE%AE%E5%9E%8B%E8%BB%B8%E6%89%BF-bearing-%E5%9F%B9%E6%9E%97-%E8%BB%B8%E6%89%BF-%E8%BB%B8%E6%89%BF%E9%8B%BC-i.3743756.784018253?sp_atk=288d4f08-3d42-4a90-894e-e43c2322d6b6&amp;xptdk=288d4f08-3d42-4a90-894e-e43c2322d6b6" xr:uid="{1E0B7F91-27A8-4C50-99FB-7177D09274A6}"/>
    <hyperlink ref="F12" r:id="rId3" display="https://shopee.tw/%E3%80%90%E4%B8%8D%E5%9B%89%E5%97%A624H%E9%80%81%E5%87%BA%E3%80%91M3-%E8%9E%BA%E7%B5%B2-%E9%95%B7%E5%BA%A63-150mm-M3x0.5P-%E5%85%A8%E7%89%99-%E5%9C%93%E9%A0%AD%E5%85%A7%E5%85%AD%E8%A7%92-%E5%8A%A0%E9%95%B7%E8%9E%BA%E7%B5%B2-304%E4%B8%8D%E9%8F%BD%E9%8B%BC-%E6%A9%9F%E6%A2%B0%E7%89%99-i.3743756.1174121069?sp_atk=b8de2a05-6917-45d8-a8f3-df7f7fbb1627&amp;xptdk=b8de2a05-6917-45d8-a8f3-df7f7fbb1627" xr:uid="{77F8450F-4A88-402D-969D-A7B396C40FDB}"/>
    <hyperlink ref="F15" r:id="rId4" display="https://shopee.tw/%E3%80%90%E4%B8%8D%E5%9B%89%E5%97%A624H%E9%80%81%E5%87%BA%E3%80%91M2-M3-M4-M5-M6-M8-M10-M12-1-4-5-16-%E5%9B%9B%E6%96%B9%E8%9E%BA%E6%AF%8D-%E6%96%B9%E8%9E%BA%E6%AF%8D-%E9%8B%81%E6%93%A0%E5%9E%8B-i.3743756.1196687711?sp_atk=44cd5cb7-4812-4baf-857a-f64cbd24db0a&amp;xptdk=44cd5cb7-4812-4baf-857a-f64cbd24db0a" xr:uid="{AB7BFD75-0E20-43EB-91E4-9251748F03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871C-9C34-4F3A-BE92-354AC9BE4601}">
  <dimension ref="A1:F4"/>
  <sheetViews>
    <sheetView workbookViewId="0">
      <selection activeCell="F8" sqref="F8"/>
    </sheetView>
  </sheetViews>
  <sheetFormatPr defaultRowHeight="16.5" x14ac:dyDescent="0.25"/>
  <cols>
    <col min="1" max="1" width="7.5" bestFit="1" customWidth="1"/>
    <col min="2" max="2" width="10.5" bestFit="1" customWidth="1"/>
    <col min="3" max="3" width="8.25" bestFit="1" customWidth="1"/>
    <col min="4" max="4" width="5.375" bestFit="1" customWidth="1"/>
    <col min="5" max="5" width="5.5" bestFit="1" customWidth="1"/>
    <col min="6" max="6" width="125.75" bestFit="1" customWidth="1"/>
  </cols>
  <sheetData>
    <row r="1" spans="1:6" x14ac:dyDescent="0.25">
      <c r="A1" s="6"/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</row>
    <row r="2" spans="1:6" x14ac:dyDescent="0.25">
      <c r="A2" s="6" t="s">
        <v>44</v>
      </c>
      <c r="B2" s="1" t="s">
        <v>45</v>
      </c>
      <c r="C2" s="1">
        <v>1</v>
      </c>
      <c r="D2" s="1">
        <v>698</v>
      </c>
      <c r="E2" s="1">
        <f>C2*D2</f>
        <v>698</v>
      </c>
      <c r="F2" s="4" t="s">
        <v>46</v>
      </c>
    </row>
    <row r="3" spans="1:6" x14ac:dyDescent="0.25">
      <c r="A3" t="s">
        <v>47</v>
      </c>
      <c r="B3" s="1" t="s">
        <v>45</v>
      </c>
      <c r="C3" s="1">
        <v>1</v>
      </c>
      <c r="D3" s="1">
        <v>90</v>
      </c>
      <c r="E3" s="1">
        <f>C3*D3</f>
        <v>90</v>
      </c>
      <c r="F3" s="4" t="s">
        <v>48</v>
      </c>
    </row>
    <row r="4" spans="1:6" x14ac:dyDescent="0.25">
      <c r="E4">
        <f>SUM(E2:E3)</f>
        <v>788</v>
      </c>
    </row>
  </sheetData>
  <phoneticPr fontId="1" type="noConversion"/>
  <hyperlinks>
    <hyperlink ref="F2" r:id="rId1" display="https://shopee.tw/%E5%A4%A9%E7%84%B6%E5%A4%A7%E7%90%86%E7%9F%B3%E6%9D%BF%EF%B9%9D%E5%A4%A7%E5%B0%BA%E5%AF%B8%E9%A0%81%E9%9D%A2%EF%B9%9E-%E8%8A%B1%E5%B4%97-%E5%B2%A9%E6%9D%BF-%E7%83%98%E7%84%99-%E6%8F%89%E9%BA%B5%E6%9D%BF-%E5%88%80%E5%88%87%E7%A0%A7%E6%9D%BF-%E4%B8%AD%E5%B3%B6%E6%AA%AF%E9%9D%A2-%E5%B7%A5%E4%BD%9C%E6%A1%8C%E5%A2%8A-%E7%82%99%E7%87%92%E5%A2%8A%E6%9D%BF-%E9%9F%B3%E9%9F%BF%E5%A2%8A-%E7%9A%AE%E9%9B%95%E9%87%91%E5%B7%A5-%E6%95%B2%E6%93%8A%E6%A1%8C%E6%9D%BF-i.4796262.1317999823?xptdk=a230658c-ecde-4c22-8e8e-0e72929b7d29" xr:uid="{37A36F44-CCDB-45A6-AFA5-35A1CF96A442}"/>
    <hyperlink ref="F3" r:id="rId2" display="https://shopee.tw/%E7%9D%BF%E5%82%91%E5%B7%A5%E6%A5%AD-%E7%8F%BE%E8%B2%A8-%E5%8E%9A1cm-%E6%A9%A1%E8%86%A0%E5%A2%8A-%E6%94%BF%E5%BA%9C%E7%AB%8B%E6%A1%88-%E5%8F%AF%E9%96%8B%E6%94%B6%E6%93%9A-%E6%A9%A1%E8%86%A0%E6%9D%BF-%E6%A9%9F%E8%BB%8A%E5%A2%8A-%E6%B0%B4%E6%BA%9D%E5%A2%8A-%E6%AD%A2%E6%BB%91%E5%A2%8A-%E6%B4%97%E8%A1%A3%E6%A9%9F%E5%A2%8A-%E7%B5%95%E7%B7%A3-%E9%98%B2%E9%9C%87-%E7%B7%A9%E8%A1%9D-%E5%8F%B0%E7%81%A3%E8%A3%BD-i.160282721.8729421268?xptdk=d52f904b-58af-4212-8d2b-8141bbd37832" xr:uid="{E02677F9-BACC-4319-949A-4D52AB01EA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BBAC-BDF5-40A7-899D-D13940EA4E62}">
  <dimension ref="A1:F15"/>
  <sheetViews>
    <sheetView workbookViewId="0">
      <selection activeCell="I15" sqref="I15"/>
    </sheetView>
  </sheetViews>
  <sheetFormatPr defaultRowHeight="16.5" x14ac:dyDescent="0.25"/>
  <cols>
    <col min="1" max="1" width="9.75" bestFit="1" customWidth="1"/>
    <col min="2" max="2" width="11.5" bestFit="1" customWidth="1"/>
    <col min="3" max="3" width="4.375" bestFit="1" customWidth="1"/>
    <col min="4" max="4" width="5.375" bestFit="1" customWidth="1"/>
  </cols>
  <sheetData>
    <row r="1" spans="1:6" x14ac:dyDescent="0.25">
      <c r="A1" t="s">
        <v>103</v>
      </c>
      <c r="B1" t="s">
        <v>104</v>
      </c>
      <c r="C1" t="s">
        <v>105</v>
      </c>
      <c r="D1" s="7" t="s">
        <v>12</v>
      </c>
      <c r="E1" t="s">
        <v>112</v>
      </c>
    </row>
    <row r="2" spans="1:6" x14ac:dyDescent="0.25">
      <c r="A2" s="5"/>
    </row>
    <row r="3" spans="1:6" x14ac:dyDescent="0.25">
      <c r="A3" s="5">
        <v>2465</v>
      </c>
      <c r="B3" t="s">
        <v>114</v>
      </c>
      <c r="C3">
        <v>10</v>
      </c>
      <c r="D3">
        <v>50</v>
      </c>
      <c r="E3">
        <f>SUM(C3*D3)</f>
        <v>500</v>
      </c>
      <c r="F3" s="4" t="s">
        <v>116</v>
      </c>
    </row>
    <row r="4" spans="1:6" x14ac:dyDescent="0.25">
      <c r="A4" s="5">
        <v>3004</v>
      </c>
      <c r="B4" t="s">
        <v>108</v>
      </c>
      <c r="C4">
        <v>58</v>
      </c>
      <c r="D4">
        <v>4</v>
      </c>
      <c r="E4">
        <f t="shared" ref="E4:E5" si="0">SUM(C4*D4)</f>
        <v>232</v>
      </c>
    </row>
    <row r="5" spans="1:6" x14ac:dyDescent="0.25">
      <c r="A5" s="5">
        <v>2456</v>
      </c>
      <c r="B5" t="s">
        <v>107</v>
      </c>
      <c r="C5">
        <v>56</v>
      </c>
      <c r="D5">
        <v>10</v>
      </c>
      <c r="E5">
        <f t="shared" si="0"/>
        <v>560</v>
      </c>
    </row>
    <row r="6" spans="1:6" x14ac:dyDescent="0.25">
      <c r="A6" s="5">
        <v>300326</v>
      </c>
      <c r="B6" t="s">
        <v>109</v>
      </c>
      <c r="C6">
        <v>10</v>
      </c>
      <c r="D6">
        <v>5</v>
      </c>
      <c r="E6">
        <f>SUM(C6*D6)</f>
        <v>50</v>
      </c>
    </row>
    <row r="7" spans="1:6" x14ac:dyDescent="0.25">
      <c r="A7" s="5">
        <v>300126</v>
      </c>
      <c r="B7" t="s">
        <v>110</v>
      </c>
      <c r="C7">
        <v>4</v>
      </c>
      <c r="D7">
        <v>9</v>
      </c>
      <c r="E7">
        <f>SUM(C7*D7)</f>
        <v>36</v>
      </c>
    </row>
    <row r="8" spans="1:6" x14ac:dyDescent="0.25">
      <c r="A8" s="5">
        <v>300726</v>
      </c>
      <c r="B8" t="s">
        <v>111</v>
      </c>
      <c r="C8">
        <v>5</v>
      </c>
      <c r="D8">
        <v>12</v>
      </c>
      <c r="E8">
        <f>SUM(C8*D8)</f>
        <v>60</v>
      </c>
    </row>
    <row r="9" spans="1:6" x14ac:dyDescent="0.25">
      <c r="A9" s="5">
        <v>2357</v>
      </c>
      <c r="B9" t="s">
        <v>106</v>
      </c>
      <c r="C9">
        <v>52</v>
      </c>
      <c r="D9">
        <v>4</v>
      </c>
      <c r="E9">
        <f>SUM(C9*D9)</f>
        <v>208</v>
      </c>
    </row>
    <row r="10" spans="1:6" x14ac:dyDescent="0.25">
      <c r="A10" s="5" t="s">
        <v>113</v>
      </c>
      <c r="B10" t="s">
        <v>115</v>
      </c>
      <c r="C10">
        <v>1</v>
      </c>
      <c r="D10">
        <v>250</v>
      </c>
      <c r="E10">
        <f>SUM(C10*D10)</f>
        <v>250</v>
      </c>
    </row>
    <row r="11" spans="1:6" x14ac:dyDescent="0.25">
      <c r="E11">
        <f>SUM(E3:E10)</f>
        <v>1896</v>
      </c>
    </row>
    <row r="15" spans="1:6" x14ac:dyDescent="0.25">
      <c r="A15" s="5"/>
    </row>
  </sheetData>
  <sortState xmlns:xlrd2="http://schemas.microsoft.com/office/spreadsheetml/2017/richdata2" ref="A7:D15">
    <sortCondition ref="B7:B15"/>
  </sortState>
  <phoneticPr fontId="1" type="noConversion"/>
  <hyperlinks>
    <hyperlink ref="F3" r:id="rId1" display="https://www.bidbuy4u.com.tw/en/" xr:uid="{73230E15-9A5F-4A69-ADA5-CDF73341996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8697-5C11-4D49-856B-1A940E8755E9}">
  <dimension ref="A1:F26"/>
  <sheetViews>
    <sheetView workbookViewId="0">
      <selection activeCell="F20" sqref="F20"/>
    </sheetView>
  </sheetViews>
  <sheetFormatPr defaultRowHeight="16.5" x14ac:dyDescent="0.25"/>
  <cols>
    <col min="1" max="1" width="21.25" bestFit="1" customWidth="1"/>
    <col min="2" max="2" width="25" bestFit="1" customWidth="1"/>
    <col min="3" max="3" width="8.25" bestFit="1" customWidth="1"/>
    <col min="4" max="5" width="5.5" bestFit="1" customWidth="1"/>
    <col min="6" max="6" width="255.625" bestFit="1" customWidth="1"/>
  </cols>
  <sheetData>
    <row r="1" spans="1:6" x14ac:dyDescent="0.25">
      <c r="A1" s="11"/>
      <c r="B1" s="11" t="s">
        <v>10</v>
      </c>
      <c r="C1" s="11" t="s">
        <v>11</v>
      </c>
      <c r="D1" s="11" t="s">
        <v>12</v>
      </c>
      <c r="E1" s="7" t="s">
        <v>13</v>
      </c>
      <c r="F1" s="7" t="s">
        <v>14</v>
      </c>
    </row>
    <row r="2" spans="1:6" x14ac:dyDescent="0.25">
      <c r="A2" s="5" t="s">
        <v>81</v>
      </c>
      <c r="B2" s="5"/>
      <c r="C2" s="1">
        <v>1</v>
      </c>
      <c r="D2" s="1">
        <v>4080</v>
      </c>
      <c r="E2" s="1">
        <f>C2*D2</f>
        <v>4080</v>
      </c>
      <c r="F2" s="4" t="s">
        <v>85</v>
      </c>
    </row>
    <row r="3" spans="1:6" x14ac:dyDescent="0.25">
      <c r="A3" s="5" t="s">
        <v>79</v>
      </c>
      <c r="B3" s="12"/>
      <c r="C3" s="1">
        <v>1</v>
      </c>
      <c r="D3" s="1">
        <v>510</v>
      </c>
      <c r="E3" s="1">
        <f>C3*D3</f>
        <v>510</v>
      </c>
      <c r="F3" s="4" t="s">
        <v>84</v>
      </c>
    </row>
    <row r="4" spans="1:6" x14ac:dyDescent="0.25">
      <c r="A4" s="5" t="s">
        <v>0</v>
      </c>
      <c r="B4" s="12"/>
      <c r="C4" s="1">
        <v>1</v>
      </c>
      <c r="D4" s="1">
        <v>102</v>
      </c>
      <c r="E4" s="1">
        <f>C4*D4</f>
        <v>102</v>
      </c>
      <c r="F4" s="4" t="s">
        <v>83</v>
      </c>
    </row>
    <row r="5" spans="1:6" x14ac:dyDescent="0.25">
      <c r="A5" s="5" t="s">
        <v>1</v>
      </c>
      <c r="B5" s="12"/>
      <c r="C5" s="1">
        <v>1</v>
      </c>
      <c r="D5" s="1">
        <v>170</v>
      </c>
      <c r="E5" s="1">
        <f>C5*D5</f>
        <v>170</v>
      </c>
      <c r="F5" s="4" t="s">
        <v>82</v>
      </c>
    </row>
    <row r="6" spans="1:6" x14ac:dyDescent="0.25">
      <c r="A6" s="5" t="s">
        <v>90</v>
      </c>
      <c r="B6" s="5"/>
      <c r="C6" s="1">
        <v>1</v>
      </c>
      <c r="D6" s="1">
        <v>200</v>
      </c>
      <c r="E6" s="1">
        <f t="shared" ref="E6:E12" si="0">C6*D6</f>
        <v>200</v>
      </c>
    </row>
    <row r="7" spans="1:6" x14ac:dyDescent="0.25">
      <c r="A7" s="5" t="s">
        <v>91</v>
      </c>
      <c r="B7" s="5"/>
      <c r="C7" s="1">
        <v>1</v>
      </c>
      <c r="D7" s="1">
        <v>50</v>
      </c>
      <c r="E7" s="1">
        <f t="shared" si="0"/>
        <v>50</v>
      </c>
    </row>
    <row r="8" spans="1:6" x14ac:dyDescent="0.25">
      <c r="A8" s="5" t="s">
        <v>80</v>
      </c>
      <c r="B8" s="5"/>
      <c r="C8" s="1">
        <v>3</v>
      </c>
      <c r="D8" s="1">
        <v>88</v>
      </c>
      <c r="E8" s="1">
        <f t="shared" si="0"/>
        <v>264</v>
      </c>
    </row>
    <row r="9" spans="1:6" x14ac:dyDescent="0.25">
      <c r="A9" s="5" t="s">
        <v>86</v>
      </c>
      <c r="B9" s="5" t="s">
        <v>99</v>
      </c>
      <c r="C9" s="1">
        <v>3</v>
      </c>
      <c r="D9" s="1">
        <v>185</v>
      </c>
      <c r="E9" s="1">
        <f t="shared" si="0"/>
        <v>555</v>
      </c>
      <c r="F9" s="4" t="s">
        <v>87</v>
      </c>
    </row>
    <row r="10" spans="1:6" x14ac:dyDescent="0.25">
      <c r="A10" s="5" t="s">
        <v>97</v>
      </c>
      <c r="B10" s="5" t="s">
        <v>98</v>
      </c>
      <c r="C10" s="1">
        <v>2</v>
      </c>
      <c r="D10" s="1">
        <v>90</v>
      </c>
      <c r="E10" s="1">
        <f t="shared" si="0"/>
        <v>180</v>
      </c>
    </row>
    <row r="11" spans="1:6" x14ac:dyDescent="0.25">
      <c r="A11" t="s">
        <v>93</v>
      </c>
      <c r="B11" s="12" t="s">
        <v>96</v>
      </c>
      <c r="C11" s="1">
        <v>1</v>
      </c>
      <c r="D11" s="1">
        <v>365</v>
      </c>
      <c r="E11" s="1">
        <f>C11*D11</f>
        <v>365</v>
      </c>
      <c r="F11" s="4" t="s">
        <v>92</v>
      </c>
    </row>
    <row r="12" spans="1:6" x14ac:dyDescent="0.25">
      <c r="A12" s="5" t="s">
        <v>94</v>
      </c>
      <c r="B12" s="5" t="s">
        <v>95</v>
      </c>
      <c r="C12" s="1">
        <v>1</v>
      </c>
      <c r="D12" s="1">
        <v>558</v>
      </c>
      <c r="E12" s="1">
        <f>C12*D12</f>
        <v>558</v>
      </c>
    </row>
    <row r="13" spans="1:6" x14ac:dyDescent="0.25">
      <c r="A13" t="s">
        <v>89</v>
      </c>
      <c r="B13" s="5" t="s">
        <v>88</v>
      </c>
      <c r="C13" s="1">
        <v>1</v>
      </c>
      <c r="D13" s="1">
        <v>25</v>
      </c>
      <c r="E13" s="1">
        <f>C13*D13</f>
        <v>25</v>
      </c>
    </row>
    <row r="14" spans="1:6" x14ac:dyDescent="0.25">
      <c r="A14" s="9" t="s">
        <v>63</v>
      </c>
      <c r="B14" s="5" t="s">
        <v>64</v>
      </c>
      <c r="C14" s="1">
        <v>1</v>
      </c>
      <c r="D14" s="1">
        <v>463</v>
      </c>
      <c r="E14" s="1">
        <f>C14*D14</f>
        <v>463</v>
      </c>
      <c r="F14" s="8" t="s">
        <v>65</v>
      </c>
    </row>
    <row r="15" spans="1:6" x14ac:dyDescent="0.25">
      <c r="A15" s="9" t="s">
        <v>66</v>
      </c>
      <c r="B15" s="5" t="s">
        <v>67</v>
      </c>
      <c r="C15" s="1">
        <v>1</v>
      </c>
      <c r="D15" s="1">
        <v>571</v>
      </c>
      <c r="E15" s="1">
        <f>C15*D15</f>
        <v>571</v>
      </c>
      <c r="F15" s="8" t="s">
        <v>68</v>
      </c>
    </row>
    <row r="16" spans="1:6" x14ac:dyDescent="0.25">
      <c r="E16" s="1">
        <f>SUM(E2:E15)</f>
        <v>8093</v>
      </c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12" t="s">
        <v>100</v>
      </c>
      <c r="B26" s="5" t="s">
        <v>101</v>
      </c>
      <c r="C26" s="12" t="s">
        <v>102</v>
      </c>
      <c r="D26" s="12">
        <v>2040</v>
      </c>
    </row>
  </sheetData>
  <phoneticPr fontId="1" type="noConversion"/>
  <hyperlinks>
    <hyperlink ref="F14" r:id="rId1" xr:uid="{D84163F7-C3EC-48A0-826C-BDEE4FDA48B9}"/>
    <hyperlink ref="F5" r:id="rId2" display="https://www.mouser.tw/ProductDetail/Raspberry-Pi/SC1148?qs=HoCaDK9Nz5fqo0izK2taew%3D%3D" xr:uid="{B6646C26-ABA6-4E86-820B-21B6A9E02E4D}"/>
    <hyperlink ref="F4" r:id="rId3" display="https://www.mouser.tw/ProductDetail/Raspberry-Pi/SC1130?qs=HoCaDK9Nz5cq1J6nVlnj%252Bw%3D%3D" xr:uid="{38677212-1AB1-49B0-9097-586E37369319}"/>
    <hyperlink ref="F3" r:id="rId4" display="https://www.mouser.tw/ProductDetail/Raspberry-Pi/SC0023?qs=T%252BzbugeAwjgRU4vb4%252BbLIg%3D%3D" xr:uid="{713FC1B0-25AC-44DB-8ECB-0D78E7886752}"/>
    <hyperlink ref="F2" r:id="rId5" display="https://www.mouser.tw/ProductDetail/Raspberry-Pi/SC1113?qs=a2MtRaTmNOQZp5XJGfiB8A%3D%3D" xr:uid="{532D63A6-61B0-4684-AB3A-211D81F63C17}"/>
    <hyperlink ref="F9" r:id="rId6" display="https://shopee.tw/%E3%80%90%E7%92%B0%E5%B3%B6%E7%A7%91%E6%8A%80%E3%80%9142-%E6%AD%A5%E9%80%B2%E9%A6%AC%E9%81%94-%E5%9E%8B%E8%99%9F%E9%BD%8A%E5%85%A8-42BYG-%E6%AD%A5%E9%80%B2%E9%A6%AC%E9%81%94-%E5%8F%B0%E7%81%A3%E7%8F%BE%E8%B2%A8-3D%E5%8D%B0%E8%A1%A8%E6%A9%9F-%E6%AD%A5%E9%80%B2%E9%9B%BB%E6%A9%9F-NEMA17-%E9%A9%85%E5%8B%95%E6%8E%A7%E5%88%B6%E5%99%A8-i.280233910.27876873725?extraParams=%7B%22display_model_id%22%3A205805030369%2C%22model_selection_logic%22%3A3%7D&amp;sp_atk=f42dae3b-1525-426b-9a87-cb65c4026340&amp;xptdk=f42dae3b-1525-426b-9a87-cb65c4026340" xr:uid="{5BE4CDBA-9EE5-403F-BC1E-02EEF1594132}"/>
    <hyperlink ref="F11" r:id="rId7" display="https://www.mouser.tw/ProductDetail/New-Energy/XQEAWT-H0-0000-00000BFE1-SB01?qs=sGAEpiMZZMuCm2JlHBGefkkhfay1hsQkqv6memqJaKAqbnmChw5J4A%3D%3D" xr:uid="{731FC2C8-CE42-449A-AC07-A099EBC237D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5430-790E-463F-A14C-83520479A964}">
  <dimension ref="A1:F2"/>
  <sheetViews>
    <sheetView workbookViewId="0">
      <selection activeCell="A4" sqref="A4"/>
    </sheetView>
  </sheetViews>
  <sheetFormatPr defaultRowHeight="16.5" x14ac:dyDescent="0.25"/>
  <cols>
    <col min="1" max="1" width="22.625" bestFit="1" customWidth="1"/>
    <col min="2" max="2" width="55.875" bestFit="1" customWidth="1"/>
    <col min="3" max="3" width="6.625" bestFit="1" customWidth="1"/>
    <col min="4" max="4" width="6.75" bestFit="1" customWidth="1"/>
    <col min="5" max="5" width="6.5" bestFit="1" customWidth="1"/>
    <col min="6" max="6" width="100.875" bestFit="1" customWidth="1"/>
  </cols>
  <sheetData>
    <row r="1" spans="1:6" x14ac:dyDescent="0.25">
      <c r="A1" s="7"/>
      <c r="B1" s="7" t="s">
        <v>10</v>
      </c>
      <c r="C1" s="7" t="s">
        <v>72</v>
      </c>
      <c r="D1" s="7" t="s">
        <v>73</v>
      </c>
      <c r="E1" s="7" t="s">
        <v>12</v>
      </c>
      <c r="F1" s="7" t="s">
        <v>14</v>
      </c>
    </row>
    <row r="2" spans="1:6" x14ac:dyDescent="0.25">
      <c r="A2" s="7" t="s">
        <v>74</v>
      </c>
      <c r="B2" s="7" t="s">
        <v>75</v>
      </c>
      <c r="C2" s="7" t="s">
        <v>76</v>
      </c>
      <c r="D2" s="7" t="s">
        <v>77</v>
      </c>
      <c r="E2" s="7">
        <v>138.69999999999999</v>
      </c>
      <c r="F2" s="4" t="s">
        <v>78</v>
      </c>
    </row>
  </sheetData>
  <phoneticPr fontId="1" type="noConversion"/>
  <hyperlinks>
    <hyperlink ref="F2" r:id="rId1" display="https://www.cospheric.com/FMG_green_fluorescent_polymer_microspheres_1micron.htm" xr:uid="{21BC3895-E072-4603-B0ED-0BEA666C6F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Optics</vt:lpstr>
      <vt:lpstr>Stage</vt:lpstr>
      <vt:lpstr>Base damping</vt:lpstr>
      <vt:lpstr>Lego</vt:lpstr>
      <vt:lpstr>Electronic</vt:lpstr>
      <vt:lpstr>Fluorescent Microspheres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陳靖濰</dc:creator>
  <cp:lastModifiedBy>陳靖濰</cp:lastModifiedBy>
  <dcterms:created xsi:type="dcterms:W3CDTF">2025-12-06T06:15:57Z</dcterms:created>
  <dcterms:modified xsi:type="dcterms:W3CDTF">2026-05-13T08:21:09Z</dcterms:modified>
</cp:coreProperties>
</file>